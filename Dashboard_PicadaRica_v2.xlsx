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шборд" sheetId="1" state="visible" r:id="rId1"/>
    <sheet name="Продажи" sheetId="2" state="visible" r:id="rId2"/>
    <sheet name="Клиенты" sheetId="3" state="visible" r:id="rId3"/>
    <sheet name="Закупки" sheetId="4" state="visible" r:id="rId4"/>
    <sheet name="Остатки" sheetId="5" state="visible" r:id="rId5"/>
    <sheet name="Юнит-экономика" sheetId="6" state="visible" r:id="rId6"/>
    <sheet name="Маркетинг ТГ" sheetId="7" state="visible" r:id="rId7"/>
    <sheet name="Ярмарки Б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7B1C1C"/>
      <sz val="16"/>
    </font>
    <font>
      <name val="Arial"/>
      <color rgb="00666666"/>
      <sz val="9"/>
    </font>
    <font>
      <name val="Arial"/>
      <b val="1"/>
      <color rgb="00241210"/>
      <sz val="20"/>
    </font>
    <font>
      <name val="Arial"/>
      <b val="1"/>
      <color rgb="007B1C1C"/>
      <sz val="13"/>
    </font>
    <font>
      <name val="Arial"/>
      <b val="1"/>
      <color rgb="00F5EAD3"/>
      <sz val="11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666666"/>
      <sz val="10"/>
    </font>
    <font>
      <name val="Arial"/>
      <b val="1"/>
      <color rgb="00EF4444"/>
      <sz val="11"/>
    </font>
  </fonts>
  <fills count="6">
    <fill>
      <patternFill/>
    </fill>
    <fill>
      <patternFill patternType="gray125"/>
    </fill>
    <fill>
      <patternFill patternType="solid">
        <fgColor rgb="00F5EAD3"/>
        <bgColor rgb="00F5EAD3"/>
      </patternFill>
    </fill>
    <fill>
      <patternFill patternType="solid">
        <fgColor rgb="007B1C1C"/>
        <bgColor rgb="007B1C1C"/>
      </patternFill>
    </fill>
    <fill>
      <patternFill patternType="solid">
        <fgColor rgb="00241210"/>
        <bgColor rgb="00241210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6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Выручка по месяцам (USD)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7B1C1C"/>
            </a:solidFill>
            <a:ln>
              <a:prstDash val="solid"/>
            </a:ln>
          </spPr>
          <cat>
            <numRef>
              <f>'Дашборд'!$B$7:$I$7</f>
            </numRef>
          </cat>
          <val>
            <numRef>
              <f>'Дашборд'!$B$8:$I$8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Продажи по каналам (USD)</a:t>
            </a:r>
          </a:p>
        </rich>
      </tx>
    </title>
    <plotArea>
      <pieChart>
        <varyColors val="1"/>
        <ser>
          <idx val="0"/>
          <order val="0"/>
          <tx>
            <strRef>
              <f>'Продажи'!O2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B1C1C"/>
              </a:solidFill>
              <a:ln>
                <a:prstDash val="solid"/>
              </a:ln>
            </spPr>
          </dPt>
          <dPt>
            <idx val="1"/>
            <spPr>
              <a:solidFill>
                <a:srgbClr val="C8A674"/>
              </a:solidFill>
              <a:ln>
                <a:prstDash val="solid"/>
              </a:ln>
            </spPr>
          </dPt>
          <dPt>
            <idx val="2"/>
            <spPr>
              <a:solidFill>
                <a:srgbClr val="2563EB"/>
              </a:solidFill>
              <a:ln>
                <a:prstDash val="solid"/>
              </a:ln>
            </spPr>
          </dPt>
          <dPt>
            <idx val="3"/>
            <spPr>
              <a:solidFill>
                <a:srgbClr val="10B981"/>
              </a:solidFill>
              <a:ln>
                <a:prstDash val="solid"/>
              </a:ln>
            </spPr>
          </dPt>
          <dPt>
            <idx val="4"/>
            <spPr>
              <a:solidFill>
                <a:srgbClr val="F59E0B"/>
              </a:solidFill>
              <a:ln>
                <a:prstDash val="solid"/>
              </a:ln>
            </spPr>
          </dPt>
          <cat>
            <numRef>
              <f>'Продажи'!$N$3:$N$7</f>
            </numRef>
          </cat>
          <val>
            <numRef>
              <f>'Продажи'!$O$3:$O$7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7B1C1C"/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35" customWidth="1" min="3" max="3"/>
    <col width="12" customWidth="1" min="4" max="4"/>
    <col width="22" customWidth="1" min="5" max="5"/>
    <col width="20" customWidth="1" min="6" max="6"/>
    <col width="24" customWidth="1" min="7" max="7"/>
    <col width="12" customWidth="1" min="8" max="8"/>
    <col width="12" customWidth="1" min="9" max="9"/>
  </cols>
  <sheetData>
    <row r="1" ht="40" customHeight="1">
      <c r="A1" s="1" t="inlineStr">
        <is>
          <t>PICADARICA — ДАШБОРД 2026</t>
        </is>
      </c>
    </row>
    <row r="2"/>
    <row r="3" ht="18" customHeight="1">
      <c r="A3" s="2" t="inlineStr">
        <is>
          <t>Выручка (USD)</t>
        </is>
      </c>
      <c r="B3" s="2" t="inlineStr">
        <is>
          <t>Заказов</t>
        </is>
      </c>
      <c r="C3" s="2" t="inlineStr">
        <is>
          <t>Средний чек</t>
        </is>
      </c>
      <c r="D3" s="2" t="inlineStr">
        <is>
          <t>Клиентов</t>
        </is>
      </c>
      <c r="E3" s="2" t="inlineStr">
        <is>
          <t>Остаток говядина (г)</t>
        </is>
      </c>
      <c r="F3" s="2" t="inlineStr">
        <is>
          <t>Остаток курица (г)</t>
        </is>
      </c>
      <c r="G3" s="2" t="inlineStr">
        <is>
          <t>Чистая прибыль</t>
        </is>
      </c>
      <c r="H3" s="2" t="inlineStr">
        <is>
          <t>Долг фирмы</t>
        </is>
      </c>
    </row>
    <row r="4" ht="35" customHeight="1">
      <c r="A4" s="3">
        <f>Продажи!K2</f>
        <v/>
      </c>
      <c r="B4" s="3">
        <f>Продажи!L2</f>
        <v/>
      </c>
      <c r="C4" s="3">
        <f>IF(Продажи!L2&gt;0,Продажи!K2/Продажи!L2,0)</f>
        <v/>
      </c>
      <c r="D4" s="3">
        <f>Клиенты!I2</f>
        <v/>
      </c>
      <c r="E4" s="3">
        <f>Остатки!G2</f>
        <v/>
      </c>
      <c r="F4" s="3">
        <f>Остатки!H2</f>
        <v/>
      </c>
      <c r="G4" s="3">
        <f>Продажи!K2-Закупки!H2</f>
        <v/>
      </c>
      <c r="H4" s="3">
        <f>Закупки!I2</f>
        <v/>
      </c>
    </row>
    <row r="5"/>
    <row r="6">
      <c r="A6" s="4" t="inlineStr">
        <is>
          <t>Сводка по месяцам</t>
        </is>
      </c>
    </row>
    <row r="7">
      <c r="A7" s="5" t="inlineStr">
        <is>
          <t>Показатель</t>
        </is>
      </c>
      <c r="B7" s="5" t="inlineStr">
        <is>
          <t>Май</t>
        </is>
      </c>
      <c r="C7" s="5" t="inlineStr">
        <is>
          <t>Июнь</t>
        </is>
      </c>
      <c r="D7" s="5" t="inlineStr">
        <is>
          <t>Июль</t>
        </is>
      </c>
      <c r="E7" s="5" t="inlineStr">
        <is>
          <t>Август</t>
        </is>
      </c>
      <c r="F7" s="5" t="inlineStr">
        <is>
          <t>Сентябрь</t>
        </is>
      </c>
      <c r="G7" s="5" t="inlineStr">
        <is>
          <t>Октябрь</t>
        </is>
      </c>
      <c r="H7" s="5" t="inlineStr">
        <is>
          <t>Ноябрь</t>
        </is>
      </c>
      <c r="I7" s="5" t="inlineStr">
        <is>
          <t>Декабрь</t>
        </is>
      </c>
    </row>
    <row r="8">
      <c r="A8" s="6" t="inlineStr">
        <is>
          <t>Выручка (USD)</t>
        </is>
      </c>
      <c r="B8" s="6" t="n">
        <v>294</v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>
      <c r="A9" s="7" t="inlineStr">
        <is>
          <t>Вес продаж (г)</t>
        </is>
      </c>
      <c r="B9" s="7" t="n">
        <v>2150</v>
      </c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>
      <c r="A10" s="6" t="inlineStr">
        <is>
          <t>Кол-во заказов</t>
        </is>
      </c>
      <c r="B10" s="6" t="n">
        <v>12</v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>
      <c r="A11" s="7" t="inlineStr">
        <is>
          <t>Закупка продукта (USD)</t>
        </is>
      </c>
      <c r="B11" s="7" t="n">
        <v>438</v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</row>
    <row r="12">
      <c r="A12" s="6" t="inlineStr">
        <is>
          <t>Упаковка + этикетки (USD)</t>
        </is>
      </c>
      <c r="B12" s="6" t="n">
        <v>54</v>
      </c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>
      <c r="A13" s="7" t="inlineStr">
        <is>
          <t>Оборудование (USD)</t>
        </is>
      </c>
      <c r="B13" s="7" t="n">
        <v>208</v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</row>
    <row r="14">
      <c r="A14" s="6" t="inlineStr">
        <is>
          <t>Прочие расходы (USD)</t>
        </is>
      </c>
      <c r="B14" s="6" t="n">
        <v>0</v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</row>
    <row r="15">
      <c r="A15" s="8" t="inlineStr">
        <is>
          <t>Чистая прибыль (USD)</t>
        </is>
      </c>
      <c r="B15" s="8" t="n">
        <v>-429</v>
      </c>
      <c r="C15" s="8" t="inlineStr"/>
      <c r="D15" s="8" t="inlineStr"/>
      <c r="E15" s="8" t="inlineStr"/>
      <c r="F15" s="8" t="inlineStr"/>
      <c r="G15" s="8" t="inlineStr"/>
      <c r="H15" s="8" t="inlineStr"/>
      <c r="I15" s="8" t="inlineStr"/>
    </row>
    <row r="16"/>
    <row r="17">
      <c r="A17" s="4" t="inlineStr">
        <is>
          <t>Долг фирмы</t>
        </is>
      </c>
    </row>
    <row r="18">
      <c r="A18" s="5" t="inlineStr">
        <is>
          <t>Партнёр</t>
        </is>
      </c>
      <c r="B18" s="5" t="inlineStr">
        <is>
          <t>Сумма (USD)</t>
        </is>
      </c>
      <c r="C18" s="5" t="inlineStr">
        <is>
          <t>Примечание</t>
        </is>
      </c>
    </row>
    <row r="19">
      <c r="A19" s="6" t="inlineStr">
        <is>
          <t>Миша</t>
        </is>
      </c>
      <c r="B19" s="6" t="n">
        <v>312</v>
      </c>
      <c r="C19" s="6" t="inlineStr"/>
    </row>
    <row r="20">
      <c r="A20" s="7" t="inlineStr">
        <is>
          <t>Сергей</t>
        </is>
      </c>
      <c r="B20" s="7" t="n">
        <v>142</v>
      </c>
      <c r="C20" s="7" t="inlineStr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C8A674"/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2" customWidth="1" min="5" max="5"/>
    <col width="25" customWidth="1" min="6" max="6"/>
    <col width="18" customWidth="1" min="7" max="7"/>
    <col width="12" customWidth="1" min="8" max="8"/>
  </cols>
  <sheetData>
    <row r="1" ht="35" customHeight="1">
      <c r="A1" s="9" t="inlineStr">
        <is>
          <t>ЖУРНАЛ ПРОДАЖ</t>
        </is>
      </c>
    </row>
    <row r="2" hidden="1">
      <c r="K2">
        <f>SUBTOTAL(9,E4:E1000)</f>
        <v/>
      </c>
      <c r="L2">
        <f>COUNTA(A4:A1000)</f>
        <v/>
      </c>
      <c r="N2" t="inlineStr">
        <is>
          <t>Канал</t>
        </is>
      </c>
      <c r="O2" t="inlineStr">
        <is>
          <t>Сумма</t>
        </is>
      </c>
    </row>
    <row r="3">
      <c r="A3" s="5" t="inlineStr">
        <is>
          <t>#</t>
        </is>
      </c>
      <c r="B3" s="5" t="inlineStr">
        <is>
          <t>Дата</t>
        </is>
      </c>
      <c r="C3" s="5" t="inlineStr">
        <is>
          <t>Продукт</t>
        </is>
      </c>
      <c r="D3" s="5" t="inlineStr">
        <is>
          <t>Вес (г)</t>
        </is>
      </c>
      <c r="E3" s="5" t="inlineStr">
        <is>
          <t>Сумма (USD)</t>
        </is>
      </c>
      <c r="F3" s="5" t="inlineStr">
        <is>
          <t>Клиент</t>
        </is>
      </c>
      <c r="G3" s="5" t="inlineStr">
        <is>
          <t>Примечание</t>
        </is>
      </c>
      <c r="H3" s="5" t="inlineStr">
        <is>
          <t>Канал</t>
        </is>
      </c>
      <c r="N3" t="inlineStr">
        <is>
          <t>Прямая</t>
        </is>
      </c>
      <c r="O3" t="n">
        <v>279</v>
      </c>
    </row>
    <row r="4">
      <c r="A4" s="6" t="n">
        <v>1</v>
      </c>
      <c r="B4" s="6" t="inlineStr">
        <is>
          <t>11.05.2026</t>
        </is>
      </c>
      <c r="C4" s="6" t="inlineStr">
        <is>
          <t>Говядина</t>
        </is>
      </c>
      <c r="D4" s="6" t="n">
        <v>250</v>
      </c>
      <c r="E4" s="6" t="n">
        <v>35</v>
      </c>
      <c r="F4" s="6" t="inlineStr">
        <is>
          <t>Кирилл (@Kir)</t>
        </is>
      </c>
      <c r="G4" s="6" t="inlineStr">
        <is>
          <t>Доставка</t>
        </is>
      </c>
      <c r="H4" s="6" t="inlineStr">
        <is>
          <t>Прямая</t>
        </is>
      </c>
      <c r="N4" t="inlineStr">
        <is>
          <t>Telegram</t>
        </is>
      </c>
      <c r="O4" t="n">
        <v>16</v>
      </c>
    </row>
    <row r="5">
      <c r="A5" s="7" t="n">
        <v>2</v>
      </c>
      <c r="B5" s="7" t="inlineStr">
        <is>
          <t>12.05.2026</t>
        </is>
      </c>
      <c r="C5" s="7" t="inlineStr">
        <is>
          <t>Говядина</t>
        </is>
      </c>
      <c r="D5" s="7" t="n">
        <v>300</v>
      </c>
      <c r="E5" s="7" t="n">
        <v>42</v>
      </c>
      <c r="F5" s="7" t="inlineStr">
        <is>
          <t>Иван (@EM)</t>
        </is>
      </c>
      <c r="G5" s="7" t="inlineStr">
        <is>
          <t>Самовывоз</t>
        </is>
      </c>
      <c r="H5" s="7" t="inlineStr">
        <is>
          <t>Прямая</t>
        </is>
      </c>
      <c r="N5" t="inlineStr">
        <is>
          <t>WhatsApp</t>
        </is>
      </c>
      <c r="O5" t="n">
        <v>0</v>
      </c>
    </row>
    <row r="6">
      <c r="A6" s="6" t="n">
        <v>3</v>
      </c>
      <c r="B6" s="6" t="inlineStr">
        <is>
          <t>12.05.2026</t>
        </is>
      </c>
      <c r="C6" s="6" t="inlineStr">
        <is>
          <t>Говядина</t>
        </is>
      </c>
      <c r="D6" s="6" t="n">
        <v>150</v>
      </c>
      <c r="E6" s="6" t="n">
        <v>21</v>
      </c>
      <c r="F6" s="6" t="inlineStr">
        <is>
          <t>Анастасия</t>
        </is>
      </c>
      <c r="G6" s="6" t="inlineStr">
        <is>
          <t>Самовывоз</t>
        </is>
      </c>
      <c r="H6" s="6" t="inlineStr">
        <is>
          <t>Прямая</t>
        </is>
      </c>
      <c r="N6" t="inlineStr">
        <is>
          <t>Instagram</t>
        </is>
      </c>
      <c r="O6" t="n">
        <v>0</v>
      </c>
    </row>
    <row r="7">
      <c r="A7" s="7" t="n">
        <v>4</v>
      </c>
      <c r="B7" s="7" t="inlineStr">
        <is>
          <t>14.05.2026</t>
        </is>
      </c>
      <c r="C7" s="7" t="inlineStr">
        <is>
          <t>Говядина</t>
        </is>
      </c>
      <c r="D7" s="7" t="n">
        <v>100</v>
      </c>
      <c r="E7" s="7" t="n">
        <v>16</v>
      </c>
      <c r="F7" s="7" t="inlineStr">
        <is>
          <t>Саша (Меджик)</t>
        </is>
      </c>
      <c r="G7" s="7" t="inlineStr">
        <is>
          <t>Покер</t>
        </is>
      </c>
      <c r="H7" s="7" t="inlineStr">
        <is>
          <t>Прямая</t>
        </is>
      </c>
      <c r="N7" t="inlineStr">
        <is>
          <t>Ярмарка</t>
        </is>
      </c>
      <c r="O7" t="n">
        <v>0</v>
      </c>
    </row>
    <row r="8">
      <c r="A8" s="6" t="n">
        <v>5</v>
      </c>
      <c r="B8" s="6" t="inlineStr">
        <is>
          <t>14.05.2026</t>
        </is>
      </c>
      <c r="C8" s="6" t="inlineStr">
        <is>
          <t>Говядина</t>
        </is>
      </c>
      <c r="D8" s="6" t="n">
        <v>100</v>
      </c>
      <c r="E8" s="6" t="n">
        <v>16</v>
      </c>
      <c r="F8" s="6" t="inlineStr">
        <is>
          <t>Антон Никитин</t>
        </is>
      </c>
      <c r="G8" s="6" t="inlineStr">
        <is>
          <t>Покер</t>
        </is>
      </c>
      <c r="H8" s="6" t="inlineStr">
        <is>
          <t>Прямая</t>
        </is>
      </c>
    </row>
    <row r="9">
      <c r="A9" s="7" t="n">
        <v>6</v>
      </c>
      <c r="B9" s="7" t="inlineStr">
        <is>
          <t>16.05.2026</t>
        </is>
      </c>
      <c r="C9" s="7" t="inlineStr">
        <is>
          <t>Говядина</t>
        </is>
      </c>
      <c r="D9" s="7" t="n">
        <v>500</v>
      </c>
      <c r="E9" s="7" t="n">
        <v>70</v>
      </c>
      <c r="F9" s="7" t="inlineStr">
        <is>
          <t>Кирилл (@Kir)</t>
        </is>
      </c>
      <c r="G9" s="7" t="inlineStr">
        <is>
          <t>Самовывоз</t>
        </is>
      </c>
      <c r="H9" s="7" t="inlineStr">
        <is>
          <t>Прямая</t>
        </is>
      </c>
    </row>
    <row r="10">
      <c r="A10" s="6" t="n">
        <v>7</v>
      </c>
      <c r="B10" s="6" t="inlineStr">
        <is>
          <t>16.05.2026</t>
        </is>
      </c>
      <c r="C10" s="6" t="inlineStr">
        <is>
          <t>Говядина</t>
        </is>
      </c>
      <c r="D10" s="6" t="n">
        <v>200</v>
      </c>
      <c r="E10" s="6" t="n">
        <v>0</v>
      </c>
      <c r="F10" s="6" t="inlineStr">
        <is>
          <t>Иван (@EM)</t>
        </is>
      </c>
      <c r="G10" s="6" t="inlineStr">
        <is>
          <t>Трип (бесплатно)</t>
        </is>
      </c>
      <c r="H10" s="6" t="inlineStr">
        <is>
          <t>Прямая</t>
        </is>
      </c>
    </row>
    <row r="11">
      <c r="A11" s="7" t="n">
        <v>8</v>
      </c>
      <c r="B11" s="7" t="inlineStr">
        <is>
          <t>18.05.2026</t>
        </is>
      </c>
      <c r="C11" s="7" t="inlineStr">
        <is>
          <t>Курица</t>
        </is>
      </c>
      <c r="D11" s="7" t="n">
        <v>500</v>
      </c>
      <c r="E11" s="7" t="n">
        <v>70</v>
      </c>
      <c r="F11" s="7" t="inlineStr">
        <is>
          <t>Саша (Меджик)</t>
        </is>
      </c>
      <c r="G11" s="7" t="inlineStr">
        <is>
          <t>Самовывоз</t>
        </is>
      </c>
      <c r="H11" s="7" t="inlineStr">
        <is>
          <t>Прямая</t>
        </is>
      </c>
    </row>
    <row r="12">
      <c r="A12" s="6" t="n">
        <v>9</v>
      </c>
      <c r="B12" s="6" t="inlineStr">
        <is>
          <t>18.05.2026</t>
        </is>
      </c>
      <c r="C12" s="6" t="inlineStr">
        <is>
          <t>Говядина</t>
        </is>
      </c>
      <c r="D12" s="6" t="n">
        <v>50</v>
      </c>
      <c r="E12" s="6" t="n">
        <v>8</v>
      </c>
      <c r="F12" s="6" t="inlineStr">
        <is>
          <t>Игорь (Адидас)</t>
        </is>
      </c>
      <c r="G12" s="6" t="inlineStr">
        <is>
          <t>Покер</t>
        </is>
      </c>
      <c r="H12" s="6" t="inlineStr">
        <is>
          <t>Прямая</t>
        </is>
      </c>
    </row>
    <row r="13">
      <c r="A13" s="7" t="n">
        <v>10</v>
      </c>
      <c r="B13" s="7" t="inlineStr">
        <is>
          <t>19.05.2026</t>
        </is>
      </c>
      <c r="C13" s="7" t="inlineStr">
        <is>
          <t>Говядина</t>
        </is>
      </c>
      <c r="D13" s="7" t="n">
        <v>100</v>
      </c>
      <c r="E13" s="7" t="n">
        <v>16</v>
      </c>
      <c r="F13" s="7" t="inlineStr">
        <is>
          <t>TD</t>
        </is>
      </c>
      <c r="G13" s="7" t="inlineStr">
        <is>
          <t>Самовывоз</t>
        </is>
      </c>
      <c r="H13" s="7" t="inlineStr">
        <is>
          <t>Telegram</t>
        </is>
      </c>
    </row>
    <row r="14">
      <c r="A14" s="6" t="n">
        <v>11</v>
      </c>
      <c r="B14" s="6" t="inlineStr">
        <is>
          <t>27.05.2026</t>
        </is>
      </c>
      <c r="C14" s="6" t="inlineStr">
        <is>
          <t>Говядина</t>
        </is>
      </c>
      <c r="D14" s="6" t="n">
        <v>450</v>
      </c>
      <c r="E14" s="6" t="n">
        <v>63</v>
      </c>
      <c r="F14" s="6" t="inlineStr">
        <is>
          <t>Иван (@EM)</t>
        </is>
      </c>
      <c r="G14" s="6" t="inlineStr">
        <is>
          <t>Самовывоз</t>
        </is>
      </c>
      <c r="H14" s="6" t="inlineStr">
        <is>
          <t>Прямая</t>
        </is>
      </c>
    </row>
    <row r="15">
      <c r="A15" s="7" t="n">
        <v>12</v>
      </c>
      <c r="B15" s="7" t="inlineStr">
        <is>
          <t>30.05.2026</t>
        </is>
      </c>
      <c r="C15" s="7" t="inlineStr">
        <is>
          <t>Говядина+Курица</t>
        </is>
      </c>
      <c r="D15" s="7" t="n">
        <v>100</v>
      </c>
      <c r="E15" s="7" t="n">
        <v>14</v>
      </c>
      <c r="F15" s="7" t="inlineStr">
        <is>
          <t>Константин (@Kopernick)</t>
        </is>
      </c>
      <c r="G15" s="7" t="inlineStr">
        <is>
          <t>Самовывоз</t>
        </is>
      </c>
      <c r="H15" s="7" t="inlineStr">
        <is>
          <t>Прямая</t>
        </is>
      </c>
    </row>
  </sheetData>
  <mergeCells count="1">
    <mergeCell ref="A1:H1"/>
  </mergeCells>
  <dataValidations count="2">
    <dataValidation sqref="C4:C1000" showDropDown="0" showInputMessage="0" showErrorMessage="0" allowBlank="1" error="Выбери продукт из списка" prompt="Выбери продукт" type="list">
      <formula1>"Говядина,Курица,Говядина+Курица"</formula1>
    </dataValidation>
    <dataValidation sqref="H4:H1000" showDropDown="0" showInputMessage="0" showErrorMessage="0" allowBlank="1" error="Выбери канал из списка" prompt="Выбери канал продажи" type="list">
      <formula1>"Прямая,Telegram,WhatsApp,Instagram,Ярмарка,Покер,MercadoLibre"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33" customWidth="1" min="8" max="8"/>
  </cols>
  <sheetData>
    <row r="1" ht="35" customHeight="1">
      <c r="A1" s="9" t="inlineStr">
        <is>
          <t>БАЗА КЛИЕНТОВ</t>
        </is>
      </c>
    </row>
    <row r="2" hidden="1">
      <c r="I2">
        <f>COUNTA(A4:A1000)</f>
        <v/>
      </c>
    </row>
    <row r="3">
      <c r="A3" s="5" t="inlineStr">
        <is>
          <t>Имя</t>
        </is>
      </c>
      <c r="B3" s="5" t="inlineStr">
        <is>
          <t>Контакт</t>
        </is>
      </c>
      <c r="C3" s="5" t="inlineStr">
        <is>
          <t>Канал</t>
        </is>
      </c>
      <c r="D3" s="5" t="inlineStr">
        <is>
          <t>Первая покупка</t>
        </is>
      </c>
      <c r="E3" s="5" t="inlineStr">
        <is>
          <t>Покупок</t>
        </is>
      </c>
      <c r="F3" s="5" t="inlineStr">
        <is>
          <t>Всего (г)</t>
        </is>
      </c>
      <c r="G3" s="5" t="inlineStr">
        <is>
          <t>Всего (USD)</t>
        </is>
      </c>
      <c r="H3" s="5" t="inlineStr">
        <is>
          <t>Заметки</t>
        </is>
      </c>
    </row>
    <row r="4">
      <c r="A4" s="6" t="inlineStr">
        <is>
          <t>Кирилл (@Kir)</t>
        </is>
      </c>
      <c r="B4" s="6" t="inlineStr">
        <is>
          <t>@Kir (TG)</t>
        </is>
      </c>
      <c r="C4" s="6" t="inlineStr">
        <is>
          <t>Прямая</t>
        </is>
      </c>
      <c r="D4" s="6" t="inlineStr">
        <is>
          <t>11.05.2026</t>
        </is>
      </c>
      <c r="E4" s="6" t="n">
        <v>2</v>
      </c>
      <c r="F4" s="6" t="n">
        <v>750</v>
      </c>
      <c r="G4" s="6" t="n">
        <v>105</v>
      </c>
      <c r="H4" s="6" t="inlineStr">
        <is>
          <t>Повторный. Доставка + самовывоз</t>
        </is>
      </c>
    </row>
    <row r="5">
      <c r="A5" s="7" t="inlineStr">
        <is>
          <t>Иван (@EM)</t>
        </is>
      </c>
      <c r="B5" s="7" t="inlineStr">
        <is>
          <t>@EM (TG)</t>
        </is>
      </c>
      <c r="C5" s="7" t="inlineStr">
        <is>
          <t>Прямая</t>
        </is>
      </c>
      <c r="D5" s="7" t="inlineStr">
        <is>
          <t>12.05.2026</t>
        </is>
      </c>
      <c r="E5" s="7" t="n">
        <v>3</v>
      </c>
      <c r="F5" s="7" t="n">
        <v>1000</v>
      </c>
      <c r="G5" s="7" t="n">
        <v>105</v>
      </c>
      <c r="H5" s="7" t="inlineStr">
        <is>
          <t>200г бесплатно (трип). Повторный</t>
        </is>
      </c>
    </row>
    <row r="6">
      <c r="A6" s="6" t="inlineStr">
        <is>
          <t>Анастасия</t>
        </is>
      </c>
      <c r="B6" s="6" t="inlineStr"/>
      <c r="C6" s="6" t="inlineStr">
        <is>
          <t>Прямая</t>
        </is>
      </c>
      <c r="D6" s="6" t="inlineStr">
        <is>
          <t>12.05.2026</t>
        </is>
      </c>
      <c r="E6" s="6" t="n">
        <v>1</v>
      </c>
      <c r="F6" s="6" t="n">
        <v>150</v>
      </c>
      <c r="G6" s="6" t="n">
        <v>21</v>
      </c>
      <c r="H6" s="6" t="inlineStr">
        <is>
          <t>Самовывоз</t>
        </is>
      </c>
    </row>
    <row r="7">
      <c r="A7" s="7" t="inlineStr">
        <is>
          <t>Саша (Меджик)</t>
        </is>
      </c>
      <c r="B7" s="7" t="inlineStr"/>
      <c r="C7" s="7" t="inlineStr">
        <is>
          <t>Прямая</t>
        </is>
      </c>
      <c r="D7" s="7" t="inlineStr">
        <is>
          <t>14.05.2026</t>
        </is>
      </c>
      <c r="E7" s="7" t="n">
        <v>2</v>
      </c>
      <c r="F7" s="7" t="n">
        <v>600</v>
      </c>
      <c r="G7" s="7" t="n">
        <v>86</v>
      </c>
      <c r="H7" s="7" t="inlineStr">
        <is>
          <t>Покер + курица 500г</t>
        </is>
      </c>
    </row>
    <row r="8">
      <c r="A8" s="6" t="inlineStr">
        <is>
          <t>Антон Никитин</t>
        </is>
      </c>
      <c r="B8" s="6" t="inlineStr"/>
      <c r="C8" s="6" t="inlineStr">
        <is>
          <t>Прямая</t>
        </is>
      </c>
      <c r="D8" s="6" t="inlineStr">
        <is>
          <t>14.05.2026</t>
        </is>
      </c>
      <c r="E8" s="6" t="n">
        <v>1</v>
      </c>
      <c r="F8" s="6" t="n">
        <v>100</v>
      </c>
      <c r="G8" s="6" t="n">
        <v>16</v>
      </c>
      <c r="H8" s="6" t="inlineStr">
        <is>
          <t>Покер</t>
        </is>
      </c>
    </row>
    <row r="9">
      <c r="A9" s="7" t="inlineStr">
        <is>
          <t>Игорь (Адидас)</t>
        </is>
      </c>
      <c r="B9" s="7" t="inlineStr"/>
      <c r="C9" s="7" t="inlineStr">
        <is>
          <t>Прямая</t>
        </is>
      </c>
      <c r="D9" s="7" t="inlineStr">
        <is>
          <t>18.05.2026</t>
        </is>
      </c>
      <c r="E9" s="7" t="n">
        <v>1</v>
      </c>
      <c r="F9" s="7" t="n">
        <v>50</v>
      </c>
      <c r="G9" s="7" t="n">
        <v>8</v>
      </c>
      <c r="H9" s="7" t="inlineStr">
        <is>
          <t>Покер</t>
        </is>
      </c>
    </row>
    <row r="10">
      <c r="A10" s="6" t="inlineStr">
        <is>
          <t>TD</t>
        </is>
      </c>
      <c r="B10" s="6" t="inlineStr"/>
      <c r="C10" s="6" t="inlineStr">
        <is>
          <t>Telegram</t>
        </is>
      </c>
      <c r="D10" s="6" t="inlineStr">
        <is>
          <t>19.05.2026</t>
        </is>
      </c>
      <c r="E10" s="6" t="n">
        <v>1</v>
      </c>
      <c r="F10" s="6" t="n">
        <v>100</v>
      </c>
      <c r="G10" s="6" t="n">
        <v>16</v>
      </c>
      <c r="H10" s="6" t="inlineStr"/>
    </row>
    <row r="11">
      <c r="A11" s="7" t="inlineStr">
        <is>
          <t>Константин (@Kopernick)</t>
        </is>
      </c>
      <c r="B11" s="7" t="inlineStr">
        <is>
          <t>@Kopernick (TG)</t>
        </is>
      </c>
      <c r="C11" s="7" t="inlineStr">
        <is>
          <t>Прямая</t>
        </is>
      </c>
      <c r="D11" s="7" t="inlineStr">
        <is>
          <t>30.05.2026</t>
        </is>
      </c>
      <c r="E11" s="7" t="n">
        <v>1</v>
      </c>
      <c r="F11" s="7" t="n">
        <v>100</v>
      </c>
      <c r="G11" s="7" t="n">
        <v>14</v>
      </c>
      <c r="H11" s="7" t="inlineStr">
        <is>
          <t>Говядина+курица микс</t>
        </is>
      </c>
    </row>
  </sheetData>
  <mergeCells count="1">
    <mergeCell ref="A1:H1"/>
  </mergeCells>
  <dataValidations count="1">
    <dataValidation sqref="C4:C1000" showDropDown="0" showInputMessage="0" showErrorMessage="0" allowBlank="1" type="list">
      <formula1>"Прямая,Telegram,WhatsApp,Instagram,Ярмарка,Покер,MercadoLibre"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7" customWidth="1" min="3" max="3"/>
    <col width="35" customWidth="1" min="4" max="4"/>
    <col width="16" customWidth="1" min="5" max="5"/>
    <col width="12" customWidth="1" min="6" max="6"/>
    <col width="12" customWidth="1" min="7" max="7"/>
  </cols>
  <sheetData>
    <row r="1" ht="35" customHeight="1">
      <c r="A1" s="9" t="inlineStr">
        <is>
          <t>ЗАКУПКИ И РАСХОДЫ</t>
        </is>
      </c>
    </row>
    <row r="2" hidden="1">
      <c r="H2">
        <f>SUBTOTAL(9,E4:E1000)</f>
        <v/>
      </c>
      <c r="I2" t="n">
        <v>454</v>
      </c>
    </row>
    <row r="3">
      <c r="A3" s="5" t="inlineStr">
        <is>
          <t>#</t>
        </is>
      </c>
      <c r="B3" s="5" t="inlineStr">
        <is>
          <t>Дата</t>
        </is>
      </c>
      <c r="C3" s="5" t="inlineStr">
        <is>
          <t>Категория</t>
        </is>
      </c>
      <c r="D3" s="5" t="inlineStr">
        <is>
          <t>Описание</t>
        </is>
      </c>
      <c r="E3" s="5" t="inlineStr">
        <is>
          <t>Сумма (USD)</t>
        </is>
      </c>
      <c r="F3" s="5" t="inlineStr">
        <is>
          <t>Поставщик</t>
        </is>
      </c>
      <c r="G3" s="5" t="inlineStr">
        <is>
          <t>Примечание</t>
        </is>
      </c>
    </row>
    <row r="4">
      <c r="A4" s="6" t="n">
        <v>1</v>
      </c>
      <c r="B4" s="6" t="inlineStr">
        <is>
          <t>Май 2026</t>
        </is>
      </c>
      <c r="C4" s="6" t="inlineStr">
        <is>
          <t>Мясо (говядина)</t>
        </is>
      </c>
      <c r="D4" s="6" t="inlineStr">
        <is>
          <t>Закупка сырья</t>
        </is>
      </c>
      <c r="E4" s="6" t="n">
        <v>369</v>
      </c>
      <c r="F4" s="6" t="inlineStr"/>
      <c r="G4" s="6" t="inlineStr"/>
    </row>
    <row r="5">
      <c r="A5" s="7" t="n">
        <v>2</v>
      </c>
      <c r="B5" s="7" t="inlineStr">
        <is>
          <t>Май 2026</t>
        </is>
      </c>
      <c r="C5" s="7" t="inlineStr">
        <is>
          <t>Мясо (курица)</t>
        </is>
      </c>
      <c r="D5" s="7" t="inlineStr">
        <is>
          <t>Закупка сырья</t>
        </is>
      </c>
      <c r="E5" s="7" t="n">
        <v>69</v>
      </c>
      <c r="F5" s="7" t="inlineStr"/>
      <c r="G5" s="7" t="inlineStr"/>
    </row>
    <row r="6">
      <c r="A6" s="6" t="n">
        <v>3</v>
      </c>
      <c r="B6" s="6" t="inlineStr">
        <is>
          <t>Май 2026</t>
        </is>
      </c>
      <c r="C6" s="6" t="inlineStr">
        <is>
          <t>Специи</t>
        </is>
      </c>
      <c r="D6" s="6" t="inlineStr">
        <is>
          <t>Паприка, перец, соль, чеснок, соевый соус</t>
        </is>
      </c>
      <c r="E6" s="6" t="n">
        <v>23</v>
      </c>
      <c r="F6" s="6" t="inlineStr"/>
      <c r="G6" s="6" t="inlineStr"/>
    </row>
    <row r="7">
      <c r="A7" s="7" t="n">
        <v>4</v>
      </c>
      <c r="B7" s="7" t="inlineStr">
        <is>
          <t>Май 2026</t>
        </is>
      </c>
      <c r="C7" s="7" t="inlineStr">
        <is>
          <t>Упаковка</t>
        </is>
      </c>
      <c r="D7" s="7" t="inlineStr">
        <is>
          <t>Вакуумные пакеты + этикетки</t>
        </is>
      </c>
      <c r="E7" s="7" t="n">
        <v>54</v>
      </c>
      <c r="F7" s="7" t="inlineStr"/>
      <c r="G7" s="7" t="inlineStr"/>
    </row>
    <row r="8">
      <c r="A8" s="6" t="n">
        <v>5</v>
      </c>
      <c r="B8" s="6" t="inlineStr">
        <is>
          <t>Май 2026</t>
        </is>
      </c>
      <c r="C8" s="6" t="inlineStr">
        <is>
          <t>Оборудование</t>
        </is>
      </c>
      <c r="D8" s="6" t="inlineStr">
        <is>
          <t>Дегидратор и др.</t>
        </is>
      </c>
      <c r="E8" s="6" t="n">
        <v>208</v>
      </c>
      <c r="F8" s="6" t="inlineStr"/>
      <c r="G8" s="6" t="inlineStr">
        <is>
          <t>Инвестиция</t>
        </is>
      </c>
    </row>
    <row r="9"/>
    <row r="10">
      <c r="A10" s="4" t="inlineStr">
        <is>
          <t>НОВАЯ МОДЕЛЬ: ЗАКАЗ У ПРОИЗВОДСТВА</t>
        </is>
      </c>
    </row>
    <row r="11">
      <c r="A11" s="10" t="inlineStr">
        <is>
          <t>С июня 2026 мясо производится на аутсорсе. Вносите заказы у производства в категорию «Готовый продукт (производство)».</t>
        </is>
      </c>
    </row>
    <row r="12"/>
    <row r="13">
      <c r="A13" s="5" t="inlineStr">
        <is>
          <t>Дата заказа</t>
        </is>
      </c>
      <c r="B13" s="5" t="inlineStr">
        <is>
          <t>Продукт</t>
        </is>
      </c>
      <c r="C13" s="5" t="inlineStr">
        <is>
          <t>Вес заказа (г)</t>
        </is>
      </c>
      <c r="D13" s="5" t="inlineStr">
        <is>
          <t>Цена (USD)</t>
        </is>
      </c>
      <c r="E13" s="5" t="inlineStr">
        <is>
          <t>Дата получения</t>
        </is>
      </c>
      <c r="F13" s="5" t="inlineStr">
        <is>
          <t>Статус</t>
        </is>
      </c>
      <c r="G13" s="5" t="inlineStr">
        <is>
          <t>Примечание</t>
        </is>
      </c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6" t="n"/>
      <c r="B18" s="6" t="n"/>
      <c r="C18" s="6" t="n"/>
      <c r="D18" s="6" t="n"/>
      <c r="E18" s="6" t="n"/>
      <c r="F18" s="6" t="n"/>
      <c r="G18" s="6" t="n"/>
    </row>
  </sheetData>
  <mergeCells count="4">
    <mergeCell ref="A11:G11"/>
    <mergeCell ref="A2:G2"/>
    <mergeCell ref="A1:G1"/>
    <mergeCell ref="A10:G10"/>
  </mergeCells>
  <dataValidations count="3">
    <dataValidation sqref="C4:C1000" showDropDown="0" showInputMessage="0" showErrorMessage="0" allowBlank="1" error="Выбери категорию" type="list">
      <formula1>"Готовый продукт (производство),Упаковка,Этикетки,Доставка,Оборудование,Маркетинг,Ярмарка (участие),Прочее,Мясо (говядина),Мясо (курица),Специи"</formula1>
    </dataValidation>
    <dataValidation sqref="F14:F1000" showDropDown="0" showInputMessage="0" showErrorMessage="0" allowBlank="1" type="list">
      <formula1>"Заказан,В производстве,Готов,Получен,Отменён"</formula1>
    </dataValidation>
    <dataValidation sqref="B14:B1000" showDropDown="0" showInputMessage="0" showErrorMessage="0" allowBlank="1" type="list">
      <formula1>"Говядина,Курица,Говядина+Курица"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0B981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2" customWidth="1" min="4" max="4"/>
    <col width="22" customWidth="1" min="5" max="5"/>
    <col width="20" customWidth="1" min="6" max="6"/>
  </cols>
  <sheetData>
    <row r="1" ht="35" customHeight="1">
      <c r="A1" s="9" t="inlineStr">
        <is>
          <t>ОСТАТКИ ПРОДУКТА</t>
        </is>
      </c>
    </row>
    <row r="2" hidden="1">
      <c r="G2" t="n">
        <v>-100</v>
      </c>
      <c r="H2" t="n">
        <v>1350</v>
      </c>
    </row>
    <row r="3">
      <c r="A3" s="5" t="inlineStr">
        <is>
          <t>Дата</t>
        </is>
      </c>
      <c r="B3" s="5" t="inlineStr">
        <is>
          <t>Событие</t>
        </is>
      </c>
      <c r="C3" s="5" t="inlineStr">
        <is>
          <t>Продукт</t>
        </is>
      </c>
      <c r="D3" s="5" t="inlineStr">
        <is>
          <t>Кол-во (г)</t>
        </is>
      </c>
      <c r="E3" s="5" t="inlineStr">
        <is>
          <t>Остаток говядина (г)</t>
        </is>
      </c>
      <c r="F3" s="5" t="inlineStr">
        <is>
          <t>Остаток курица (г)</t>
        </is>
      </c>
    </row>
    <row r="4">
      <c r="A4" s="6" t="inlineStr">
        <is>
          <t>Май 2026</t>
        </is>
      </c>
      <c r="B4" s="6" t="inlineStr">
        <is>
          <t>Итого на конец мая</t>
        </is>
      </c>
      <c r="C4" s="6" t="inlineStr">
        <is>
          <t>Говядина</t>
        </is>
      </c>
      <c r="D4" s="6" t="n">
        <v>-100</v>
      </c>
      <c r="E4" s="6" t="n">
        <v>-100</v>
      </c>
      <c r="F4" s="6" t="inlineStr"/>
    </row>
    <row r="5">
      <c r="A5" s="7" t="inlineStr">
        <is>
          <t>Май 2026</t>
        </is>
      </c>
      <c r="B5" s="7" t="inlineStr">
        <is>
          <t>Итого на конец мая</t>
        </is>
      </c>
      <c r="C5" s="7" t="inlineStr">
        <is>
          <t>Курица</t>
        </is>
      </c>
      <c r="D5" s="7" t="n">
        <v>1350</v>
      </c>
      <c r="E5" s="7" t="inlineStr"/>
      <c r="F5" s="7" t="n">
        <v>1350</v>
      </c>
    </row>
    <row r="6"/>
    <row r="7">
      <c r="A7" s="11" t="inlineStr">
        <is>
          <t>⚠ Говядина в минусе (-100г) — нужна закупка!</t>
        </is>
      </c>
    </row>
  </sheetData>
  <mergeCells count="2">
    <mergeCell ref="A1:F1"/>
    <mergeCell ref="A7:F7"/>
  </mergeCells>
  <dataValidations count="2">
    <dataValidation sqref="B4:B1000" showDropDown="0" showInputMessage="0" showErrorMessage="0" allowBlank="1" type="list">
      <formula1>"Получено от производства,Продажа,Списание,Дегустация,Подарок,Возврат"</formula1>
    </dataValidation>
    <dataValidation sqref="C4:C1000" showDropDown="0" showInputMessage="0" showErrorMessage="0" allowBlank="1" type="list">
      <formula1>"Говядина,Курица"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5CF6"/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5" customWidth="1" min="3" max="3"/>
    <col width="15" customWidth="1" min="4" max="4"/>
  </cols>
  <sheetData>
    <row r="1" ht="35" customHeight="1">
      <c r="A1" s="9" t="inlineStr">
        <is>
          <t>ЮНИТ-ЭКОНОМИКА</t>
        </is>
      </c>
    </row>
    <row r="2"/>
    <row r="3">
      <c r="A3" s="4" t="inlineStr">
        <is>
          <t>СТАРАЯ МОДЕЛЬ (своё производство)</t>
        </is>
      </c>
    </row>
    <row r="4">
      <c r="A4" s="5" t="inlineStr">
        <is>
          <t>Показатель</t>
        </is>
      </c>
      <c r="B4" s="5" t="inlineStr">
        <is>
          <t>Значение</t>
        </is>
      </c>
      <c r="C4" s="5" t="inlineStr">
        <is>
          <t>Ед.</t>
        </is>
      </c>
    </row>
    <row r="5">
      <c r="A5" s="6" t="inlineStr">
        <is>
          <t>Курс USD/ARS</t>
        </is>
      </c>
      <c r="B5" s="6" t="n">
        <v>1450</v>
      </c>
      <c r="C5" s="6" t="inlineStr"/>
    </row>
    <row r="6">
      <c r="A6" s="7" t="inlineStr">
        <is>
          <t>Цена говядины (ARS/кг)</t>
        </is>
      </c>
      <c r="B6" s="7" t="n">
        <v>15000</v>
      </c>
      <c r="C6" s="7" t="inlineStr">
        <is>
          <t>ARS</t>
        </is>
      </c>
    </row>
    <row r="7">
      <c r="A7" s="6" t="inlineStr">
        <is>
          <t>Выход готового продукта</t>
        </is>
      </c>
      <c r="B7" s="6" t="n">
        <v>40</v>
      </c>
      <c r="C7" s="6" t="inlineStr">
        <is>
          <t>%</t>
        </is>
      </c>
    </row>
    <row r="8">
      <c r="A8" s="7" t="inlineStr">
        <is>
          <t>Себестоимость 1 кг готового</t>
        </is>
      </c>
      <c r="B8" s="7" t="n">
        <v>19.4</v>
      </c>
      <c r="C8" s="7" t="inlineStr">
        <is>
          <t>USD</t>
        </is>
      </c>
    </row>
    <row r="9">
      <c r="A9" s="6" t="inlineStr">
        <is>
          <t>Себестоимость упаковки 50г</t>
        </is>
      </c>
      <c r="B9" s="6" t="n">
        <v>1.9</v>
      </c>
      <c r="C9" s="6" t="inlineStr">
        <is>
          <t>USD</t>
        </is>
      </c>
    </row>
    <row r="10">
      <c r="A10" s="7" t="inlineStr">
        <is>
          <t>Розничная цена 50г</t>
        </is>
      </c>
      <c r="B10" s="7" t="n">
        <v>6.9</v>
      </c>
      <c r="C10" s="7" t="inlineStr">
        <is>
          <t>USD</t>
        </is>
      </c>
    </row>
    <row r="11">
      <c r="A11" s="6" t="inlineStr">
        <is>
          <t>Маржинальность</t>
        </is>
      </c>
      <c r="B11" s="6" t="n">
        <v>255</v>
      </c>
      <c r="C11" s="6" t="inlineStr">
        <is>
          <t>%</t>
        </is>
      </c>
    </row>
    <row r="12">
      <c r="A12" s="7" t="inlineStr">
        <is>
          <t>Чистая прибыль/мес (при 80 уп.)</t>
        </is>
      </c>
      <c r="B12" s="7" t="n">
        <v>396</v>
      </c>
      <c r="C12" s="7" t="inlineStr">
        <is>
          <t>USD</t>
        </is>
      </c>
    </row>
    <row r="13"/>
    <row r="14"/>
    <row r="15">
      <c r="A15" s="4" t="inlineStr">
        <is>
          <t>НОВАЯ МОДЕЛЬ (заказ у производства)</t>
        </is>
      </c>
    </row>
    <row r="16">
      <c r="A16" s="10" t="inlineStr">
        <is>
          <t>Заполни стоимость от производства — формулы пересчитают автоматически</t>
        </is>
      </c>
    </row>
    <row r="17">
      <c r="A17" s="5" t="inlineStr">
        <is>
          <t>Показатель</t>
        </is>
      </c>
      <c r="B17" s="5" t="inlineStr">
        <is>
          <t>Значение</t>
        </is>
      </c>
      <c r="C17" s="5" t="inlineStr">
        <is>
          <t>Ед.</t>
        </is>
      </c>
      <c r="D17" s="5" t="inlineStr">
        <is>
          <t>Примечание</t>
        </is>
      </c>
    </row>
    <row r="18">
      <c r="A18" s="6" t="inlineStr">
        <is>
          <t>Цена готового продукта от производства</t>
        </is>
      </c>
      <c r="B18" s="12" t="inlineStr"/>
      <c r="C18" s="6" t="inlineStr">
        <is>
          <t>USD/кг</t>
        </is>
      </c>
      <c r="D18" s="6" t="inlineStr">
        <is>
          <t>← впиши сюда</t>
        </is>
      </c>
    </row>
    <row r="19">
      <c r="A19" s="7" t="inlineStr">
        <is>
          <t>Упаковка (вакуум пакет)</t>
        </is>
      </c>
      <c r="B19" s="12" t="inlineStr"/>
      <c r="C19" s="7" t="inlineStr">
        <is>
          <t>USD/шт</t>
        </is>
      </c>
      <c r="D19" s="7" t="inlineStr">
        <is>
          <t>← впиши сюда</t>
        </is>
      </c>
    </row>
    <row r="20">
      <c r="A20" s="6" t="inlineStr">
        <is>
          <t>Этикетка</t>
        </is>
      </c>
      <c r="B20" s="12" t="inlineStr"/>
      <c r="C20" s="6" t="inlineStr">
        <is>
          <t>USD/шт</t>
        </is>
      </c>
      <c r="D20" s="6" t="inlineStr">
        <is>
          <t>← впиши сюда</t>
        </is>
      </c>
    </row>
    <row r="21">
      <c r="A21" s="7" t="inlineStr">
        <is>
          <t>Доставка от производства</t>
        </is>
      </c>
      <c r="B21" s="12" t="inlineStr"/>
      <c r="C21" s="7" t="inlineStr">
        <is>
          <t>USD/партия</t>
        </is>
      </c>
      <c r="D21" s="7" t="inlineStr">
        <is>
          <t>← впиши сюда</t>
        </is>
      </c>
    </row>
    <row r="22">
      <c r="A22" s="6" t="inlineStr">
        <is>
          <t>Вес упаковки</t>
        </is>
      </c>
      <c r="B22" s="6" t="n">
        <v>50</v>
      </c>
      <c r="C22" s="6" t="inlineStr">
        <is>
          <t>г</t>
        </is>
      </c>
      <c r="D22" s="6" t="inlineStr"/>
    </row>
    <row r="23">
      <c r="A23" s="7" t="inlineStr">
        <is>
          <t>Количество упаковок в партии</t>
        </is>
      </c>
      <c r="B23" s="12" t="inlineStr"/>
      <c r="C23" s="7" t="inlineStr">
        <is>
          <t>шт</t>
        </is>
      </c>
      <c r="D23" s="7" t="inlineStr">
        <is>
          <t>← впиши сюда</t>
        </is>
      </c>
    </row>
    <row r="24">
      <c r="A24" s="6" t="inlineStr">
        <is>
          <t>Розничная цена 50г</t>
        </is>
      </c>
      <c r="B24" s="6" t="n">
        <v>8</v>
      </c>
      <c r="C24" s="6" t="inlineStr">
        <is>
          <t>USD</t>
        </is>
      </c>
      <c r="D24" s="6" t="inlineStr">
        <is>
          <t>Текущая с сайта</t>
        </is>
      </c>
    </row>
    <row r="25">
      <c r="A25" s="7" t="inlineStr">
        <is>
          <t>Себестоимость 1 упаковки</t>
        </is>
      </c>
      <c r="B25" s="7">
        <f>B18*(B22/1000)+B19+B20+(B21/B23)</f>
        <v/>
      </c>
      <c r="C25" s="7" t="inlineStr">
        <is>
          <t>USD</t>
        </is>
      </c>
      <c r="D25" s="7" t="inlineStr">
        <is>
          <t>Авто</t>
        </is>
      </c>
    </row>
    <row r="26">
      <c r="A26" s="6" t="inlineStr">
        <is>
          <t>Маржа с упаковки</t>
        </is>
      </c>
      <c r="B26" s="6">
        <f>B24-B25</f>
        <v/>
      </c>
      <c r="C26" s="6" t="inlineStr">
        <is>
          <t>USD</t>
        </is>
      </c>
      <c r="D26" s="6" t="inlineStr">
        <is>
          <t>Авто</t>
        </is>
      </c>
    </row>
    <row r="27">
      <c r="A27" s="7" t="inlineStr">
        <is>
          <t>Маржинальность</t>
        </is>
      </c>
      <c r="B27" s="7">
        <f>IF(B25&gt;0,(B24-B25)/B25*100,0)</f>
        <v/>
      </c>
      <c r="C27" s="7" t="inlineStr">
        <is>
          <t>%</t>
        </is>
      </c>
      <c r="D27" s="7" t="inlineStr">
        <is>
          <t>Авто</t>
        </is>
      </c>
    </row>
    <row r="28">
      <c r="A28" s="6" t="inlineStr">
        <is>
          <t>Прибыль с партии</t>
        </is>
      </c>
      <c r="B28" s="6">
        <f>(B24-B25)*B23</f>
        <v/>
      </c>
      <c r="C28" s="6" t="inlineStr">
        <is>
          <t>USD</t>
        </is>
      </c>
      <c r="D28" s="6" t="inlineStr">
        <is>
          <t>Авто</t>
        </is>
      </c>
    </row>
  </sheetData>
  <mergeCells count="4">
    <mergeCell ref="A1:D1"/>
    <mergeCell ref="A3:D3"/>
    <mergeCell ref="A16:D16"/>
    <mergeCell ref="A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EA5E9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12" customWidth="1" min="3" max="3"/>
    <col width="27" customWidth="1" min="4" max="4"/>
    <col width="50" customWidth="1" min="5" max="5"/>
  </cols>
  <sheetData>
    <row r="1" ht="35" customHeight="1">
      <c r="A1" s="9" t="inlineStr">
        <is>
          <t>КОНТЕНТ-ПЛАН TELEGRAM</t>
        </is>
      </c>
    </row>
    <row r="2">
      <c r="A2" s="5" t="inlineStr">
        <is>
          <t>День</t>
        </is>
      </c>
      <c r="B2" s="5" t="inlineStr">
        <is>
          <t>Тема поста</t>
        </is>
      </c>
      <c r="C2" s="5" t="inlineStr">
        <is>
          <t>SPCL</t>
        </is>
      </c>
      <c r="D2" s="5" t="inlineStr">
        <is>
          <t>Цель</t>
        </is>
      </c>
      <c r="E2" s="5" t="inlineStr">
        <is>
          <t>Краткое содержание</t>
        </is>
      </c>
    </row>
    <row r="3">
      <c r="A3" s="6" t="inlineStr">
        <is>
          <t>Пн</t>
        </is>
      </c>
      <c r="B3" s="6" t="inlineStr">
        <is>
          <t>«Почему мы решили делать джерки?»</t>
        </is>
      </c>
      <c r="C3" s="6" t="inlineStr">
        <is>
          <t>L</t>
        </is>
      </c>
      <c r="D3" s="6" t="inlineStr">
        <is>
          <t>Сближение, история бренда</t>
        </is>
      </c>
      <c r="E3" s="6" t="inlineStr">
        <is>
          <t>Рассказ основателя: как пробовал магазинные снеки, разочаровался, начал эксперименты.</t>
        </is>
      </c>
    </row>
    <row r="4">
      <c r="A4" s="7" t="inlineStr">
        <is>
          <t>Ср</t>
        </is>
      </c>
      <c r="B4" s="7" t="inlineStr">
        <is>
          <t>«Что внутри? Полная прозрачность»</t>
        </is>
      </c>
      <c r="C4" s="7" t="inlineStr">
        <is>
          <t>C</t>
        </is>
      </c>
      <c r="D4" s="7" t="inlineStr">
        <is>
          <t>Доверие через факты</t>
        </is>
      </c>
      <c r="E4" s="7" t="inlineStr">
        <is>
          <t>Скриншот анализа белка, фото процесса, чек на cuadril от поставщика.</t>
        </is>
      </c>
    </row>
    <row r="5">
      <c r="A5" s="6" t="inlineStr">
        <is>
          <t>Пт</t>
        </is>
      </c>
      <c r="B5" s="6" t="inlineStr">
        <is>
          <t>«Как мы выбираем мясо?»</t>
        </is>
      </c>
      <c r="C5" s="6" t="inlineStr">
        <is>
          <t>C+S</t>
        </is>
      </c>
      <c r="D5" s="6" t="inlineStr">
        <is>
          <t>Экспертиза + дефицит</t>
        </is>
      </c>
      <c r="E5" s="6" t="inlineStr">
        <is>
          <t>Почему cuadril, как проверяем pH, что такое DFD-мясо.</t>
        </is>
      </c>
    </row>
    <row r="6">
      <c r="A6" s="7" t="inlineStr">
        <is>
          <t>Сб</t>
        </is>
      </c>
      <c r="B6" s="7" t="inlineStr">
        <is>
          <t>Опрос: «Какой вкус следующим?»</t>
        </is>
      </c>
      <c r="C6" s="7" t="inlineStr">
        <is>
          <t>P</t>
        </is>
      </c>
      <c r="D6" s="7" t="inlineStr">
        <is>
          <t>Вовлечение</t>
        </is>
      </c>
      <c r="E6" s="7" t="inlineStr">
        <is>
          <t>Чипотле, лимонный перец, острый манго.</t>
        </is>
      </c>
    </row>
    <row r="7">
      <c r="A7" s="6" t="inlineStr">
        <is>
          <t>Пн</t>
        </is>
      </c>
      <c r="B7" s="6" t="inlineStr">
        <is>
          <t>«От куска до упаковки: наш путь»</t>
        </is>
      </c>
      <c r="C7" s="6" t="inlineStr">
        <is>
          <t>C</t>
        </is>
      </c>
      <c r="D7" s="6" t="inlineStr">
        <is>
          <t>Показать ручную работу</t>
        </is>
      </c>
      <c r="E7" s="6" t="inlineStr">
        <is>
          <t>Фото/видео этапов производства.</t>
        </is>
      </c>
    </row>
    <row r="8">
      <c r="A8" s="7" t="inlineStr">
        <is>
          <t>Ср</t>
        </is>
      </c>
      <c r="B8" s="7" t="inlineStr">
        <is>
          <t>«Почему наша джерки стоит своих денег»</t>
        </is>
      </c>
      <c r="C8" s="7" t="inlineStr">
        <is>
          <t>C+S</t>
        </is>
      </c>
      <c r="D8" s="7" t="inlineStr">
        <is>
          <t>Обоснование цены</t>
        </is>
      </c>
      <c r="E8" s="7" t="inlineStr">
        <is>
          <t>Калькулятор: 1 кг сырого → 300 г джерки.</t>
        </is>
      </c>
    </row>
    <row r="9">
      <c r="A9" s="6" t="inlineStr">
        <is>
          <t>Пт</t>
        </is>
      </c>
      <c r="B9" s="6" t="inlineStr">
        <is>
          <t>«Как мы контролируем партию»</t>
        </is>
      </c>
      <c r="C9" s="6" t="inlineStr">
        <is>
          <t>C+P</t>
        </is>
      </c>
      <c r="D9" s="6" t="inlineStr">
        <is>
          <t>Доверие + микро-задание</t>
        </is>
      </c>
      <c r="E9" s="6" t="inlineStr">
        <is>
          <t>Весовой контроль, замеры влажности.</t>
        </is>
      </c>
    </row>
    <row r="10">
      <c r="A10" s="7" t="inlineStr">
        <is>
          <t>Пн</t>
        </is>
      </c>
      <c r="B10" s="7" t="inlineStr">
        <is>
          <t>«Наши ошибки»</t>
        </is>
      </c>
      <c r="C10" s="7" t="inlineStr">
        <is>
          <t>L</t>
        </is>
      </c>
      <c r="D10" s="7" t="inlineStr">
        <is>
          <t>Уязвимость, доверие</t>
        </is>
      </c>
      <c r="E10" s="7" t="inlineStr">
        <is>
          <t>Неудачные партии, что сделали.</t>
        </is>
      </c>
    </row>
    <row r="11">
      <c r="A11" s="6" t="inlineStr">
        <is>
          <t>Ср</t>
        </is>
      </c>
      <c r="B11" s="6" t="inlineStr">
        <is>
          <t>«Мы даём гарантию. Серьёзно.»</t>
        </is>
      </c>
      <c r="C11" s="6" t="inlineStr">
        <is>
          <t>C+S</t>
        </is>
      </c>
      <c r="D11" s="6" t="inlineStr">
        <is>
          <t>Уверенность</t>
        </is>
      </c>
      <c r="E11" s="6" t="inlineStr">
        <is>
          <t>Замена бесплатно или возврат.</t>
        </is>
      </c>
    </row>
    <row r="12">
      <c r="A12" s="7" t="inlineStr">
        <is>
          <t>Пт</t>
        </is>
      </c>
      <c r="B12" s="7" t="inlineStr">
        <is>
          <t>«Как вы можете влиять на PicadaRica?»</t>
        </is>
      </c>
      <c r="C12" s="7" t="inlineStr">
        <is>
          <t>P+L</t>
        </is>
      </c>
      <c r="D12" s="7" t="inlineStr">
        <is>
          <t>Со-творчество</t>
        </is>
      </c>
      <c r="E12" s="7" t="inlineStr">
        <is>
          <t>Рекомендации друзей → бонусы.</t>
        </is>
      </c>
    </row>
    <row r="13">
      <c r="A13" s="6" t="inlineStr">
        <is>
          <t>Сб</t>
        </is>
      </c>
      <c r="B13" s="6" t="inlineStr">
        <is>
          <t>Голосование: формат упаковки</t>
        </is>
      </c>
      <c r="C13" s="6" t="inlineStr">
        <is>
          <t>P</t>
        </is>
      </c>
      <c r="D13" s="6" t="inlineStr">
        <is>
          <t>Совместное решение</t>
        </is>
      </c>
      <c r="E13" s="6" t="inlineStr">
        <is>
          <t>50г, 100г, 250г?</t>
        </is>
      </c>
    </row>
    <row r="14">
      <c r="A14" s="7" t="inlineStr">
        <is>
          <t>Пн</t>
        </is>
      </c>
      <c r="B14" s="7" t="inlineStr">
        <is>
          <t>«Кто наш клиент?»</t>
        </is>
      </c>
      <c r="C14" s="7" t="inlineStr">
        <is>
          <t>L+S</t>
        </is>
      </c>
      <c r="D14" s="7" t="inlineStr">
        <is>
          <t>Сближение</t>
        </is>
      </c>
      <c r="E14" s="7" t="inlineStr">
        <is>
          <t>Портрет: предприниматель, здоровье.</t>
        </is>
      </c>
    </row>
    <row r="15">
      <c r="A15" s="6" t="inlineStr">
        <is>
          <t>Ср</t>
        </is>
      </c>
      <c r="B15" s="6" t="inlineStr">
        <is>
          <t>«Почему мы не растём быстро»</t>
        </is>
      </c>
      <c r="C15" s="6" t="inlineStr">
        <is>
          <t>S+L</t>
        </is>
      </c>
      <c r="D15" s="6" t="inlineStr">
        <is>
          <t>Статус через честность</t>
        </is>
      </c>
      <c r="E15" s="6" t="inlineStr">
        <is>
          <t>Каждая партия ограничена.</t>
        </is>
      </c>
    </row>
    <row r="16">
      <c r="A16" s="7" t="inlineStr">
        <is>
          <t>Пт</t>
        </is>
      </c>
      <c r="B16" s="7" t="inlineStr">
        <is>
          <t>«Что дальше?»</t>
        </is>
      </c>
      <c r="C16" s="7" t="inlineStr">
        <is>
          <t>P+S</t>
        </is>
      </c>
      <c r="D16" s="7" t="inlineStr">
        <is>
          <t>Прозрачность</t>
        </is>
      </c>
      <c r="E16" s="7" t="inlineStr">
        <is>
          <t>Новые вкусы, ярмарки, закрытый клуб.</t>
        </is>
      </c>
    </row>
    <row r="17">
      <c r="A17" s="6" t="inlineStr">
        <is>
          <t>Сб</t>
        </is>
      </c>
      <c r="B17" s="6" t="inlineStr">
        <is>
          <t>Итоги месяца + благодарность</t>
        </is>
      </c>
      <c r="C17" s="6" t="inlineStr">
        <is>
          <t>L</t>
        </is>
      </c>
      <c r="D17" s="6" t="inlineStr">
        <is>
          <t>Лояльность</t>
        </is>
      </c>
      <c r="E17" s="6" t="inlineStr">
        <is>
          <t>Спасибо, промокод активным.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C489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27" customWidth="1" min="3" max="3"/>
    <col width="25" customWidth="1" min="4" max="4"/>
    <col width="18" customWidth="1" min="5" max="5"/>
    <col width="21" customWidth="1" min="6" max="6"/>
  </cols>
  <sheetData>
    <row r="1" ht="35" customHeight="1">
      <c r="A1" s="9" t="inlineStr">
        <is>
          <t>ЯРМАРКИ БУЭНОС-АЙРЕСА</t>
        </is>
      </c>
    </row>
    <row r="2">
      <c r="A2" s="5" t="inlineStr">
        <is>
          <t>Название</t>
        </is>
      </c>
      <c r="B2" s="5" t="inlineStr">
        <is>
          <t>Тип</t>
        </is>
      </c>
      <c r="C2" s="5" t="inlineStr">
        <is>
          <t>Контакты</t>
        </is>
      </c>
      <c r="D2" s="5" t="inlineStr">
        <is>
          <t>Место</t>
        </is>
      </c>
      <c r="E2" s="5" t="inlineStr">
        <is>
          <t>Расписание</t>
        </is>
      </c>
      <c r="F2" s="5" t="inlineStr">
        <is>
          <t>Стоимость</t>
        </is>
      </c>
    </row>
    <row r="3">
      <c r="A3" s="6" t="inlineStr">
        <is>
          <t>Sabe la Tierra</t>
        </is>
      </c>
      <c r="B3" s="6" t="inlineStr">
        <is>
          <t>Ивентовая</t>
        </is>
      </c>
      <c r="C3" s="6" t="inlineStr">
        <is>
          <t>@sabelatierra</t>
        </is>
      </c>
      <c r="D3" s="6" t="inlineStr">
        <is>
          <t>Парки по городу</t>
        </is>
      </c>
      <c r="E3" s="6" t="inlineStr">
        <is>
          <t>Постоянно</t>
        </is>
      </c>
      <c r="F3" s="6" t="inlineStr">
        <is>
          <t>По заявке</t>
        </is>
      </c>
    </row>
    <row r="4">
      <c r="A4" s="7" t="inlineStr">
        <is>
          <t>BA Market</t>
        </is>
      </c>
      <c r="B4" s="7" t="inlineStr">
        <is>
          <t>Гос. программа</t>
        </is>
      </c>
      <c r="C4" s="7" t="inlineStr">
        <is>
          <t>@baemarket</t>
        </is>
      </c>
      <c r="D4" s="7" t="inlineStr">
        <is>
          <t>CABA площади</t>
        </is>
      </c>
      <c r="E4" s="7" t="inlineStr">
        <is>
          <t>1-2 раза/мес</t>
        </is>
      </c>
      <c r="F4" s="7" t="inlineStr">
        <is>
          <t>Precios Concertados</t>
        </is>
      </c>
    </row>
    <row r="5">
      <c r="A5" s="6" t="inlineStr">
        <is>
          <t>El Galpón</t>
        </is>
      </c>
      <c r="B5" s="6" t="inlineStr">
        <is>
          <t>Постоянный рынок</t>
        </is>
      </c>
      <c r="C5" s="6" t="inlineStr">
        <is>
          <t>@elgalpon.chacarita</t>
        </is>
      </c>
      <c r="D5" s="6" t="inlineStr">
        <is>
          <t>Lacroze 4181, Chacarita</t>
        </is>
      </c>
      <c r="E5" s="6" t="inlineStr">
        <is>
          <t>Ср 8-13, Сб 9-18</t>
        </is>
      </c>
      <c r="F5" s="6" t="inlineStr">
        <is>
          <t>$5500 ARS/год</t>
        </is>
      </c>
    </row>
    <row r="6">
      <c r="A6" s="7" t="inlineStr">
        <is>
          <t>Masticar</t>
        </is>
      </c>
      <c r="B6" s="7" t="inlineStr">
        <is>
          <t>Крупный фестиваль</t>
        </is>
      </c>
      <c r="C6" s="7" t="inlineStr">
        <is>
          <t>@masticar</t>
        </is>
      </c>
      <c r="D6" s="7" t="inlineStr">
        <is>
          <t>Zapiola 50, Палермо</t>
        </is>
      </c>
      <c r="E6" s="7" t="inlineStr">
        <is>
          <t>Апрель, ноябрь</t>
        </is>
      </c>
      <c r="F6" s="7" t="inlineStr">
        <is>
          <t>Коммерч.</t>
        </is>
      </c>
    </row>
    <row r="7">
      <c r="A7" s="6" t="inlineStr">
        <is>
          <t>Caminos y Sabores</t>
        </is>
      </c>
      <c r="B7" s="6" t="inlineStr">
        <is>
          <t>Крупный фестиваль</t>
        </is>
      </c>
      <c r="C7" s="6" t="inlineStr">
        <is>
          <t>@feriacaminosysabores</t>
        </is>
      </c>
      <c r="D7" s="6" t="inlineStr">
        <is>
          <t>La Rural, Палермо</t>
        </is>
      </c>
      <c r="E7" s="6" t="inlineStr">
        <is>
          <t>9-12 июля 2026</t>
        </is>
      </c>
      <c r="F7" s="6" t="inlineStr">
        <is>
          <t>По запросу</t>
        </is>
      </c>
    </row>
    <row r="8">
      <c r="A8" s="7" t="inlineStr">
        <is>
          <t>Carne! Festival</t>
        </is>
      </c>
      <c r="B8" s="7" t="inlineStr">
        <is>
          <t>Тематический</t>
        </is>
      </c>
      <c r="C8" s="7" t="inlineStr">
        <is>
          <t>@carne.festival</t>
        </is>
      </c>
      <c r="D8" s="7" t="inlineStr">
        <is>
          <t>Hipódromo de Palermo</t>
        </is>
      </c>
      <c r="E8" s="7" t="inlineStr">
        <is>
          <t>Март, август</t>
        </is>
      </c>
      <c r="F8" s="7" t="inlineStr">
        <is>
          <t>Коммерч.</t>
        </is>
      </c>
    </row>
    <row r="9">
      <c r="A9" s="6" t="inlineStr">
        <is>
          <t>Feria Bonpland</t>
        </is>
      </c>
      <c r="B9" s="6" t="inlineStr">
        <is>
          <t>Постоянная</t>
        </is>
      </c>
      <c r="C9" s="6" t="inlineStr">
        <is>
          <t>@feriabonpland</t>
        </is>
      </c>
      <c r="D9" s="6" t="inlineStr">
        <is>
          <t>Bonpland 1660, Палермо</t>
        </is>
      </c>
      <c r="E9" s="6" t="inlineStr">
        <is>
          <t>Вт,Ср,Пт,Сб 10-20</t>
        </is>
      </c>
      <c r="F9" s="6" t="inlineStr">
        <is>
          <t>Бесплатно</t>
        </is>
      </c>
    </row>
    <row r="10">
      <c r="A10" s="7" t="inlineStr">
        <is>
          <t>Experiencia Gourmet</t>
        </is>
      </c>
      <c r="B10" s="7" t="inlineStr">
        <is>
          <t>Выходного дня</t>
        </is>
      </c>
      <c r="C10" s="7" t="inlineStr">
        <is>
          <t>@feria.experienciagourmet</t>
        </is>
      </c>
      <c r="D10" s="7" t="inlineStr">
        <is>
          <t>Plaza Francia, Recoleta</t>
        </is>
      </c>
      <c r="E10" s="7" t="inlineStr">
        <is>
          <t>5-6 июля 2026</t>
        </is>
      </c>
      <c r="F10" s="7" t="inlineStr">
        <is>
          <t>Коммерч.</t>
        </is>
      </c>
    </row>
    <row r="11">
      <c r="A11" s="6" t="inlineStr">
        <is>
          <t>Picnic Gourmet</t>
        </is>
      </c>
      <c r="B11" s="6" t="inlineStr">
        <is>
          <t>Выходного дня</t>
        </is>
      </c>
      <c r="C11" s="6" t="inlineStr">
        <is>
          <t>@picnic.gourmet</t>
        </is>
      </c>
      <c r="D11" s="6" t="inlineStr">
        <is>
          <t>Plaza Francia, Recoleta</t>
        </is>
      </c>
      <c r="E11" s="6" t="inlineStr">
        <is>
          <t>Май, август</t>
        </is>
      </c>
      <c r="F11" s="6" t="inlineStr">
        <is>
          <t>Коммерч.</t>
        </is>
      </c>
    </row>
    <row r="12">
      <c r="A12" s="7" t="inlineStr">
        <is>
          <t>Mercado Carruajes</t>
        </is>
      </c>
      <c r="B12" s="7" t="inlineStr">
        <is>
          <t>Постоянное</t>
        </is>
      </c>
      <c r="C12" s="7" t="inlineStr">
        <is>
          <t>@mercadodeloscarruajes</t>
        </is>
      </c>
      <c r="D12" s="7" t="inlineStr">
        <is>
          <t>Alem 852, Ретиро</t>
        </is>
      </c>
      <c r="E12" s="7" t="inlineStr">
        <is>
          <t>Ежедневно</t>
        </is>
      </c>
      <c r="F12" s="7" t="inlineStr">
        <is>
          <t>Аренда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2026-06-23T16:06:04Z</dcterms:created>
  <dcterms:modified xsi:type="dcterms:W3CDTF">2026-06-23T16:06:05Z</dcterms:modified>
</cp:coreProperties>
</file>